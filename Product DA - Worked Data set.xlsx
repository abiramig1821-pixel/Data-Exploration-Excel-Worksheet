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6795" tabRatio="609"/>
  </bookViews>
  <sheets>
    <sheet name="Dataset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<sst xmlns="http://schemas.openxmlformats.org/spreadsheetml/2006/main" count="209" uniqueCount="143">
  <si>
    <t>Product ID</t>
  </si>
  <si>
    <t>Day</t>
  </si>
  <si>
    <t>Country Code</t>
  </si>
  <si>
    <t>Month</t>
  </si>
  <si>
    <t>Product Name</t>
  </si>
  <si>
    <t>Brand Name</t>
  </si>
  <si>
    <t>Price ($)</t>
  </si>
  <si>
    <t>Quantity</t>
  </si>
  <si>
    <t>Category</t>
  </si>
  <si>
    <t>Price Range</t>
  </si>
  <si>
    <t>Data Exploration - Module 1 - Excel 
Task's</t>
  </si>
  <si>
    <t>28-JAN-US</t>
  </si>
  <si>
    <t>Laptop</t>
  </si>
  <si>
    <t>Dell</t>
  </si>
  <si>
    <t>Electronics</t>
  </si>
  <si>
    <t>1. SUM, COUNT and AVERAGE</t>
  </si>
  <si>
    <t>15-FEB-US</t>
  </si>
  <si>
    <t>Sneakers</t>
  </si>
  <si>
    <t>Nike</t>
  </si>
  <si>
    <t>Fashion</t>
  </si>
  <si>
    <t>Function</t>
  </si>
  <si>
    <t>Requirements</t>
  </si>
  <si>
    <t>Function In</t>
  </si>
  <si>
    <t>Result</t>
  </si>
  <si>
    <t>03-MAR-US</t>
  </si>
  <si>
    <t>Coffee Maker</t>
  </si>
  <si>
    <t>Keurig</t>
  </si>
  <si>
    <t>Kitchen</t>
  </si>
  <si>
    <t>SUM()</t>
  </si>
  <si>
    <t>Total price of all products</t>
  </si>
  <si>
    <t>SUM($E$2:$E$35)</t>
  </si>
  <si>
    <t>11-APR-US</t>
  </si>
  <si>
    <t>Smartphone</t>
  </si>
  <si>
    <t>Samsung</t>
  </si>
  <si>
    <t>COUNT()</t>
  </si>
  <si>
    <t>How many products exit in data set</t>
  </si>
  <si>
    <t>COUNTA($C$2:$C$35)</t>
  </si>
  <si>
    <t>22-MAY-US</t>
  </si>
  <si>
    <t>Backpack</t>
  </si>
  <si>
    <t>North Face</t>
  </si>
  <si>
    <t>Outdoor</t>
  </si>
  <si>
    <t>AVERAGE()</t>
  </si>
  <si>
    <t>Average price of the product</t>
  </si>
  <si>
    <t>AVERAGE($E$2:$E$35)</t>
  </si>
  <si>
    <t>07-JUN-UK</t>
  </si>
  <si>
    <t>Headphones</t>
  </si>
  <si>
    <t>Sony</t>
  </si>
  <si>
    <t>2. Minimum and Maximum Values</t>
  </si>
  <si>
    <t>19-JUL-UK</t>
  </si>
  <si>
    <t>T-shirt</t>
  </si>
  <si>
    <t>Adidas</t>
  </si>
  <si>
    <t>23-AUG-UK</t>
  </si>
  <si>
    <t>Blender</t>
  </si>
  <si>
    <t>Ninja</t>
  </si>
  <si>
    <t>MIN()</t>
  </si>
  <si>
    <t>Minimum price among all the product</t>
  </si>
  <si>
    <t>MIN($E$2:$E$35)</t>
  </si>
  <si>
    <t>05-SEP-UK</t>
  </si>
  <si>
    <t>Tablet</t>
  </si>
  <si>
    <t>Apple</t>
  </si>
  <si>
    <t>MAX()</t>
  </si>
  <si>
    <t>Maximum price among all the product</t>
  </si>
  <si>
    <t>MAX($E$2:$E$35)</t>
  </si>
  <si>
    <t>14-OCT-UK</t>
  </si>
  <si>
    <t>Hiking Boots</t>
  </si>
  <si>
    <t>Timberland</t>
  </si>
  <si>
    <t>3. Logical Function - IF</t>
  </si>
  <si>
    <t>17-JUN-IN</t>
  </si>
  <si>
    <t>HP</t>
  </si>
  <si>
    <t>25-NOV-AU</t>
  </si>
  <si>
    <t>IF()</t>
  </si>
  <si>
    <t>Categorized product Based on the Price.</t>
  </si>
  <si>
    <t>08-DEC-DE</t>
  </si>
  <si>
    <t>Nespresso</t>
  </si>
  <si>
    <r>
      <rPr>
        <sz val="10"/>
        <color rgb="FF000000"/>
        <rFont val="Times New Roman"/>
        <charset val="134"/>
      </rPr>
      <t xml:space="preserve">Price &gt;= 500 Classifiy as </t>
    </r>
    <r>
      <rPr>
        <b/>
        <sz val="10"/>
        <color rgb="FF000000"/>
        <rFont val="Times New Roman"/>
        <charset val="134"/>
      </rPr>
      <t>High Price</t>
    </r>
  </si>
  <si>
    <t>IF(E2&gt;=500,"High Price",IF(E2&lt;500,"Standard Price","High Price"))</t>
  </si>
  <si>
    <t>18-FEB-CA</t>
  </si>
  <si>
    <t>Smartwatch</t>
  </si>
  <si>
    <t>Fitbit</t>
  </si>
  <si>
    <r>
      <rPr>
        <sz val="10"/>
        <color rgb="FF000000"/>
        <rFont val="Times New Roman"/>
        <charset val="134"/>
      </rPr>
      <t xml:space="preserve">Price &lt;500 Classifiy as </t>
    </r>
    <r>
      <rPr>
        <b/>
        <sz val="10"/>
        <color rgb="FF000000"/>
        <rFont val="Times New Roman"/>
        <charset val="134"/>
      </rPr>
      <t>Standard Price</t>
    </r>
  </si>
  <si>
    <t>16-APR-ES</t>
  </si>
  <si>
    <t>Bose</t>
  </si>
  <si>
    <t>4.Conditional Functions - SUMIF and COUNTIF</t>
  </si>
  <si>
    <t>21-AUG-CA</t>
  </si>
  <si>
    <t>Laptop Bag</t>
  </si>
  <si>
    <t>Samsonite</t>
  </si>
  <si>
    <t>Accessories</t>
  </si>
  <si>
    <t>20-AUG-CN</t>
  </si>
  <si>
    <t>Huawei</t>
  </si>
  <si>
    <t>SUMIF()</t>
  </si>
  <si>
    <r>
      <rPr>
        <sz val="10"/>
        <color rgb="FF000000"/>
        <rFont val="Times New Roman"/>
        <charset val="134"/>
      </rPr>
      <t xml:space="preserve">Total price of products in </t>
    </r>
    <r>
      <rPr>
        <b/>
        <sz val="10"/>
        <color rgb="FF000000"/>
        <rFont val="Times New Roman"/>
        <charset val="134"/>
      </rPr>
      <t xml:space="preserve">Electronics </t>
    </r>
    <r>
      <rPr>
        <sz val="10"/>
        <color rgb="FF000000"/>
        <rFont val="Times New Roman"/>
        <charset val="134"/>
      </rPr>
      <t>category</t>
    </r>
  </si>
  <si>
    <t>SUMIF($G$2:$G$35,"Electronics",$E$2:$E$35)</t>
  </si>
  <si>
    <t>27-JAN-IT</t>
  </si>
  <si>
    <t>Asus</t>
  </si>
  <si>
    <t>COUNTIF()</t>
  </si>
  <si>
    <t>No.of  Product with the price &lt; 100</t>
  </si>
  <si>
    <t>COUNTIF(E2:E35,"&lt;100")</t>
  </si>
  <si>
    <t>01-MAR-UK</t>
  </si>
  <si>
    <t>Sunglasses</t>
  </si>
  <si>
    <t>Oakley</t>
  </si>
  <si>
    <t>5. Text Formatting - LEFT, RIGHT, MID</t>
  </si>
  <si>
    <t>14-AUG-US</t>
  </si>
  <si>
    <t>Camping Tent</t>
  </si>
  <si>
    <t>Coleman</t>
  </si>
  <si>
    <t>14-MAY-RU</t>
  </si>
  <si>
    <t>Camera</t>
  </si>
  <si>
    <t>Nikon</t>
  </si>
  <si>
    <t>LEFT()</t>
  </si>
  <si>
    <t>Create a new column named Day with the first 2 char of each Product ID</t>
  </si>
  <si>
    <t>LEFT(B2,2)</t>
  </si>
  <si>
    <t>09-JAN-CA</t>
  </si>
  <si>
    <t>Microwave</t>
  </si>
  <si>
    <t>Panasonic</t>
  </si>
  <si>
    <t>RIGHT()</t>
  </si>
  <si>
    <t xml:space="preserve">Create a new column named Country Code by extracting the last 2 characters from the 'Product ID' 
</t>
  </si>
  <si>
    <t>RIGHT(B2,2)</t>
  </si>
  <si>
    <t>19-JUL-BR</t>
  </si>
  <si>
    <t>Fitness Tracker</t>
  </si>
  <si>
    <t>Xiaomi</t>
  </si>
  <si>
    <t>MID()</t>
  </si>
  <si>
    <t>Create a new column named Month by extracting the 4th to 6th characters from the 'Product ID'</t>
  </si>
  <si>
    <t>MID(B2,4,3)</t>
  </si>
  <si>
    <t>29-SEP-CA</t>
  </si>
  <si>
    <t>Google</t>
  </si>
  <si>
    <t>This Coloured Header indicates Newly created coloumn as per requirements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</si>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</sst>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>
  <numFmts count="8">
    <numFmt numFmtId="176" formatCode="0_ "/>
    <numFmt numFmtId="177" formatCode="[$₹-439]#,##0.00_);[Red]\([$₹-439]#,##0.00\)"/>
    <numFmt numFmtId="178" formatCode="h:mm\ AM/PM"/>
    <numFmt numFmtId="44" formatCode="_(&quot;$&quot;* #,##0.00_);_(&quot;$&quot;* \(#,##0.00\);_(&quot;$&quot;* &quot;-&quot;??_);_(@_)"/>
    <numFmt numFmtId="179" formatCode="_ * #,##0_ ;_ * \-#,##0_ ;_ * &quot;-&quot;_ ;_ @_ "/>
    <numFmt numFmtId="180" formatCode="[$₹-439]#,##0_);[Red]\([$₹-439]#,##0\)"/>
    <numFmt numFmtId="42" formatCode="_(&quot;$&quot;* #,##0_);_(&quot;$&quot;* \(#,##0\);_(&quot;$&quot;* &quot;-&quot;_);_(@_)"/>
    <numFmt numFmtId="181" formatCode="_ * #,##0.00_ ;_ * \-#,##0.00_ ;_ * &quot;-&quot;??_ ;_ @_ "/>
  </numFmts>
  <fonts count="28">
    <font>
      <sz val="10"/>
      <color rgb="FF000000"/>
      <name val="Arial"/>
      <charset val="134"/>
      <scheme val="minor"/>
    </font>
    <font>
      <sz val="12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Times New Roman"/>
      <charset val="134"/>
    </font>
    <font>
      <b/>
      <sz val="15.5"/>
      <color theme="2"/>
      <name val="Times New Roman"/>
      <charset val="134"/>
    </font>
    <font>
      <b/>
      <sz val="11"/>
      <color theme="0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4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3" tint="0.35"/>
        <bgColor indexed="64"/>
      </patternFill>
    </fill>
    <fill>
      <patternFill patternType="solid">
        <fgColor theme="3" tint="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30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0" fillId="15" borderId="1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18" borderId="11" applyNumberFormat="0" applyFont="0" applyAlignment="0" applyProtection="0">
      <alignment vertical="center"/>
    </xf>
    <xf numFmtId="0" fontId="26" fillId="34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10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181" fontId="8" fillId="0" borderId="0" applyFont="0" applyFill="0" applyBorder="0" applyAlignment="0" applyProtection="0">
      <alignment vertical="center"/>
    </xf>
    <xf numFmtId="0" fontId="24" fillId="32" borderId="14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wrapText="1"/>
    </xf>
    <xf numFmtId="0" fontId="4" fillId="0" borderId="0" xfId="0" applyFont="1" applyAlignment="1">
      <alignment horizontal="center"/>
    </xf>
    <xf numFmtId="178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 wrapText="1"/>
    </xf>
    <xf numFmtId="178" fontId="2" fillId="0" borderId="0" xfId="0" applyNumberFormat="1" applyFont="1" applyAlignment="1">
      <alignment horizontal="center"/>
    </xf>
    <xf numFmtId="0" fontId="5" fillId="5" borderId="7" xfId="0" applyFont="1" applyFill="1" applyBorder="1" applyAlignment="1">
      <alignment horizontal="center" vertical="center" wrapText="1"/>
    </xf>
    <xf numFmtId="177" fontId="7" fillId="7" borderId="1" xfId="0" applyNumberFormat="1" applyFon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left" vertical="center"/>
    </xf>
    <xf numFmtId="177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176" fontId="7" fillId="8" borderId="1" xfId="0" applyNumberFormat="1" applyFont="1" applyFill="1" applyBorder="1" applyAlignment="1">
      <alignment horizontal="center"/>
    </xf>
    <xf numFmtId="180" fontId="7" fillId="8" borderId="1" xfId="0" applyNumberFormat="1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0">
    <dxf>
      <font>
        <name val="Times New Roman"/>
        <scheme val="none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Times New Roman"/>
        <scheme val="none"/>
      </font>
      <alignment horizontal="left"/>
    </dxf>
    <dxf>
      <font>
        <name val="Times New Roman"/>
        <scheme val="none"/>
      </font>
      <alignment horizontal="left"/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left"/>
    </dxf>
    <dxf>
      <font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:J" totalsRowShown="0">
  <autoFilter ref="A1:J1048576"/>
  <tableColumns count="10">
    <tableColumn id="1" name="Product ID" dataDxfId="0"/>
    <tableColumn id="8" name="Column2" dataDxfId="1"/>
    <tableColumn id="9" name="Column3" dataDxfId="2"/>
    <tableColumn id="10" name="Column4" dataDxfId="3"/>
    <tableColumn id="2" name="Product Name" dataDxfId="4"/>
    <tableColumn id="3" name="Brand Name" dataDxfId="5"/>
    <tableColumn id="4" name="Price ($)" dataDxfId="6"/>
    <tableColumn id="5" name="Quantity" dataDxfId="7"/>
    <tableColumn id="7" name="Column1" dataDxfId="8"/>
    <tableColumn id="6" name="Category" dataDxfId="9"/>
  </tableColumns>
  <tableStyleInfo name="TableStyleLight14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35"/>
  <sheetViews>
    <sheetView tabSelected="1" workbookViewId="0">
      <selection activeCell="A1" sqref="A1"/>
    </sheetView>
  </sheetViews>
  <sheetFormatPr defaultColWidth="12.6285714285714" defaultRowHeight="12.75"/>
  <cols>
    <col min="1" max="1" width="12.8571428571429" style="2" customWidth="1"/>
    <col min="2" max="2" width="7.95238095238095" style="2" customWidth="1"/>
    <col min="3" max="3" width="11.8095238095238" style="2" customWidth="1"/>
    <col min="4" max="4" width="14.552380952381" style="2" customWidth="1"/>
    <col min="5" max="5" width="16.4285714285714" style="3" customWidth="1"/>
    <col min="6" max="6" width="14.7142857142857" style="3" customWidth="1"/>
    <col min="7" max="7" width="9.71428571428571" style="2" customWidth="1"/>
    <col min="8" max="8" width="10.1428571428571" style="2" customWidth="1"/>
    <col min="9" max="9" width="10.5714285714286" style="3" customWidth="1"/>
    <col min="10" max="10" width="19.5047619047619" style="3" customWidth="1"/>
    <col min="11" max="11" width="12.1428571428571" style="3" customWidth="1"/>
    <col min="12" max="12" width="31.5714285714286" style="2" customWidth="1"/>
    <col min="13" max="13" width="52.8571428571429" style="3" customWidth="1"/>
    <col min="14" max="14" width="14.1428571428571" style="2" customWidth="1"/>
    <col min="15" max="16384" width="12.6285714285714" style="2"/>
  </cols>
  <sheetData>
    <row r="1" s="1" customFormat="1" ht="49" customHeight="1" spans="1:14">
      <c r="A1" s="4" t="s">
        <v>0</v>
      </c>
      <c r="B1" s="5" t="s">
        <v>1</v>
      </c>
      <c r="C1" s="6" t="s">
        <v>2</v>
      </c>
      <c r="D1" s="6" t="s">
        <v>3</v>
      </c>
      <c r="E1" s="9" t="s">
        <v>4</v>
      </c>
      <c r="F1" s="9" t="s">
        <v>5</v>
      </c>
      <c r="G1" s="4" t="s">
        <v>6</v>
      </c>
      <c r="H1" s="4" t="s">
        <v>7</v>
      </c>
      <c r="I1" s="12" t="s">
        <v>8</v>
      </c>
      <c r="J1" s="5" t="s">
        <v>9</v>
      </c>
      <c r="K1" s="13" t="s">
        <v>10</v>
      </c>
      <c r="L1" s="14"/>
      <c r="M1" s="14"/>
      <c r="N1" s="27"/>
    </row>
    <row r="2" ht="15" spans="1:14">
      <c r="A2" s="7" t="s">
        <v>11</v>
      </c>
      <c r="B2" s="7" t="str">
        <f>LEFT(A2,2)</f>
        <v>28</v>
      </c>
      <c r="C2" s="7" t="str">
        <f>RIGHT(A2,2)</f>
        <v>US</v>
      </c>
      <c r="D2" s="7" t="str">
        <f>MID(A2,4,3)</f>
        <v>JAN</v>
      </c>
      <c r="E2" s="10" t="s">
        <v>12</v>
      </c>
      <c r="F2" s="10" t="s">
        <v>13</v>
      </c>
      <c r="G2" s="7">
        <v>1000</v>
      </c>
      <c r="H2" s="7">
        <v>30</v>
      </c>
      <c r="I2" s="10" t="s">
        <v>14</v>
      </c>
      <c r="J2" s="10" t="str">
        <f>IF(G2&gt;=500,"High Price",IF(G2&lt;500,"Standard Price","High Price"))</f>
        <v>High Price</v>
      </c>
      <c r="K2" s="15" t="s">
        <v>15</v>
      </c>
      <c r="L2" s="16"/>
      <c r="M2" s="16"/>
      <c r="N2" s="16"/>
    </row>
    <row r="3" spans="1:14">
      <c r="A3" s="8" t="s">
        <v>16</v>
      </c>
      <c r="B3" s="8" t="str">
        <f t="shared" ref="B3:B35" si="0">LEFT(A3,2)</f>
        <v>15</v>
      </c>
      <c r="C3" s="8" t="str">
        <f t="shared" ref="C3:C35" si="1">RIGHT(A3,2)</f>
        <v>US</v>
      </c>
      <c r="D3" s="8" t="str">
        <f t="shared" ref="D3:D15" si="2">MID(A3,4,3)</f>
        <v>FEB</v>
      </c>
      <c r="E3" s="11" t="s">
        <v>17</v>
      </c>
      <c r="F3" s="11" t="s">
        <v>18</v>
      </c>
      <c r="G3" s="8">
        <v>80</v>
      </c>
      <c r="H3" s="8">
        <v>15</v>
      </c>
      <c r="I3" s="11" t="s">
        <v>19</v>
      </c>
      <c r="J3" s="11" t="str">
        <f>IF(G3&gt;=500,"High Price",IF(G3&lt;500,"Standard Price","High Price"))</f>
        <v>Standard Price</v>
      </c>
      <c r="K3" s="17" t="s">
        <v>20</v>
      </c>
      <c r="L3" s="17" t="s">
        <v>21</v>
      </c>
      <c r="M3" s="28" t="s">
        <v>22</v>
      </c>
      <c r="N3" s="28" t="s">
        <v>23</v>
      </c>
    </row>
    <row r="4" spans="1:14">
      <c r="A4" s="7" t="s">
        <v>24</v>
      </c>
      <c r="B4" s="7" t="str">
        <f t="shared" si="0"/>
        <v>03</v>
      </c>
      <c r="C4" s="7" t="str">
        <f t="shared" si="1"/>
        <v>US</v>
      </c>
      <c r="D4" s="7" t="str">
        <f t="shared" si="2"/>
        <v>MAR</v>
      </c>
      <c r="E4" s="10" t="s">
        <v>25</v>
      </c>
      <c r="F4" s="10" t="s">
        <v>26</v>
      </c>
      <c r="G4" s="7">
        <v>130</v>
      </c>
      <c r="H4" s="7">
        <v>40</v>
      </c>
      <c r="I4" s="10" t="s">
        <v>27</v>
      </c>
      <c r="J4" s="10" t="str">
        <f t="shared" ref="J3:J35" si="3">IF(G4&gt;=500,"High Price",IF(G4&lt;500,"Standard Price","High Price"))</f>
        <v>Standard Price</v>
      </c>
      <c r="K4" s="18" t="s">
        <v>28</v>
      </c>
      <c r="L4" s="19" t="s">
        <v>29</v>
      </c>
      <c r="M4" s="29" t="s">
        <v>30</v>
      </c>
      <c r="N4" s="30">
        <f>SUM($G$2:$G$1048576)</f>
        <v>10100</v>
      </c>
    </row>
    <row r="5" spans="1:14">
      <c r="A5" s="8" t="s">
        <v>31</v>
      </c>
      <c r="B5" s="8" t="str">
        <f t="shared" si="0"/>
        <v>11</v>
      </c>
      <c r="C5" s="8" t="str">
        <f t="shared" si="1"/>
        <v>US</v>
      </c>
      <c r="D5" s="8" t="str">
        <f t="shared" si="2"/>
        <v>APR</v>
      </c>
      <c r="E5" s="11" t="s">
        <v>32</v>
      </c>
      <c r="F5" s="11" t="s">
        <v>33</v>
      </c>
      <c r="G5" s="8">
        <v>900</v>
      </c>
      <c r="H5" s="8">
        <v>25</v>
      </c>
      <c r="I5" s="11" t="s">
        <v>14</v>
      </c>
      <c r="J5" s="11" t="str">
        <f t="shared" si="3"/>
        <v>High Price</v>
      </c>
      <c r="K5" s="18" t="s">
        <v>34</v>
      </c>
      <c r="L5" s="19" t="s">
        <v>35</v>
      </c>
      <c r="M5" s="19" t="s">
        <v>36</v>
      </c>
      <c r="N5" s="31">
        <f>COUNTA($E$2:$E$1048576)</f>
        <v>34</v>
      </c>
    </row>
    <row r="6" ht="13.5" spans="1:14">
      <c r="A6" s="7" t="s">
        <v>37</v>
      </c>
      <c r="B6" s="7" t="str">
        <f t="shared" si="0"/>
        <v>22</v>
      </c>
      <c r="C6" s="7" t="str">
        <f t="shared" si="1"/>
        <v>US</v>
      </c>
      <c r="D6" s="7" t="str">
        <f t="shared" si="2"/>
        <v>MAY</v>
      </c>
      <c r="E6" s="10" t="s">
        <v>38</v>
      </c>
      <c r="F6" s="10" t="s">
        <v>39</v>
      </c>
      <c r="G6" s="7">
        <v>70</v>
      </c>
      <c r="H6" s="7">
        <v>20</v>
      </c>
      <c r="I6" s="10" t="s">
        <v>40</v>
      </c>
      <c r="J6" s="10" t="str">
        <f t="shared" si="3"/>
        <v>Standard Price</v>
      </c>
      <c r="K6" s="18" t="s">
        <v>41</v>
      </c>
      <c r="L6" s="19" t="s">
        <v>42</v>
      </c>
      <c r="M6" s="19" t="s">
        <v>43</v>
      </c>
      <c r="N6" s="32">
        <f>AVERAGE($G$2:$G$1048576)</f>
        <v>297.058823529412</v>
      </c>
    </row>
    <row r="7" ht="15" spans="1:14">
      <c r="A7" s="8" t="s">
        <v>44</v>
      </c>
      <c r="B7" s="8" t="str">
        <f t="shared" si="0"/>
        <v>07</v>
      </c>
      <c r="C7" s="8" t="str">
        <f t="shared" si="1"/>
        <v>UK</v>
      </c>
      <c r="D7" s="8" t="str">
        <f t="shared" si="2"/>
        <v>JUN</v>
      </c>
      <c r="E7" s="11" t="s">
        <v>45</v>
      </c>
      <c r="F7" s="11" t="s">
        <v>46</v>
      </c>
      <c r="G7" s="8">
        <v>200</v>
      </c>
      <c r="H7" s="8">
        <v>45</v>
      </c>
      <c r="I7" s="11" t="s">
        <v>14</v>
      </c>
      <c r="J7" s="11" t="str">
        <f t="shared" si="3"/>
        <v>Standard Price</v>
      </c>
      <c r="K7" s="15" t="s">
        <v>47</v>
      </c>
      <c r="L7" s="16"/>
      <c r="M7" s="16"/>
      <c r="N7" s="16"/>
    </row>
    <row r="8" spans="1:14">
      <c r="A8" s="7" t="s">
        <v>48</v>
      </c>
      <c r="B8" s="7" t="str">
        <f t="shared" si="0"/>
        <v>19</v>
      </c>
      <c r="C8" s="7" t="str">
        <f t="shared" si="1"/>
        <v>UK</v>
      </c>
      <c r="D8" s="7" t="str">
        <f t="shared" si="2"/>
        <v>JUL</v>
      </c>
      <c r="E8" s="10" t="s">
        <v>49</v>
      </c>
      <c r="F8" s="10" t="s">
        <v>50</v>
      </c>
      <c r="G8" s="7">
        <v>30</v>
      </c>
      <c r="H8" s="7">
        <v>5</v>
      </c>
      <c r="I8" s="10" t="s">
        <v>19</v>
      </c>
      <c r="J8" s="10" t="str">
        <f t="shared" si="3"/>
        <v>Standard Price</v>
      </c>
      <c r="K8" s="17" t="s">
        <v>20</v>
      </c>
      <c r="L8" s="17" t="s">
        <v>21</v>
      </c>
      <c r="M8" s="28" t="s">
        <v>22</v>
      </c>
      <c r="N8" s="28" t="s">
        <v>23</v>
      </c>
    </row>
    <row r="9" spans="1:14">
      <c r="A9" s="8" t="s">
        <v>51</v>
      </c>
      <c r="B9" s="8" t="str">
        <f t="shared" si="0"/>
        <v>23</v>
      </c>
      <c r="C9" s="8" t="str">
        <f t="shared" si="1"/>
        <v>UK</v>
      </c>
      <c r="D9" s="8" t="str">
        <f t="shared" si="2"/>
        <v>AUG</v>
      </c>
      <c r="E9" s="11" t="s">
        <v>52</v>
      </c>
      <c r="F9" s="11" t="s">
        <v>53</v>
      </c>
      <c r="G9" s="8">
        <v>90</v>
      </c>
      <c r="H9" s="8">
        <v>35</v>
      </c>
      <c r="I9" s="11" t="s">
        <v>27</v>
      </c>
      <c r="J9" s="11" t="str">
        <f t="shared" si="3"/>
        <v>Standard Price</v>
      </c>
      <c r="K9" s="18" t="s">
        <v>54</v>
      </c>
      <c r="L9" s="19" t="s">
        <v>55</v>
      </c>
      <c r="M9" s="29" t="s">
        <v>56</v>
      </c>
      <c r="N9" s="33">
        <f>MIN($G$2:$G$1048576)</f>
        <v>30</v>
      </c>
    </row>
    <row r="10" ht="13.5" spans="1:14">
      <c r="A10" s="7" t="s">
        <v>57</v>
      </c>
      <c r="B10" s="7" t="str">
        <f t="shared" si="0"/>
        <v>05</v>
      </c>
      <c r="C10" s="7" t="str">
        <f t="shared" si="1"/>
        <v>UK</v>
      </c>
      <c r="D10" s="7" t="str">
        <f t="shared" si="2"/>
        <v>SEP</v>
      </c>
      <c r="E10" s="10" t="s">
        <v>58</v>
      </c>
      <c r="F10" s="10" t="s">
        <v>59</v>
      </c>
      <c r="G10" s="7">
        <v>500</v>
      </c>
      <c r="H10" s="7">
        <v>50</v>
      </c>
      <c r="I10" s="10" t="s">
        <v>14</v>
      </c>
      <c r="J10" s="10" t="str">
        <f t="shared" si="3"/>
        <v>High Price</v>
      </c>
      <c r="K10" s="18" t="s">
        <v>60</v>
      </c>
      <c r="L10" s="19" t="s">
        <v>61</v>
      </c>
      <c r="M10" s="19" t="s">
        <v>62</v>
      </c>
      <c r="N10" s="33">
        <f>MAX($G$2:$G$1048576)</f>
        <v>1000</v>
      </c>
    </row>
    <row r="11" ht="15" spans="1:14">
      <c r="A11" s="8" t="s">
        <v>63</v>
      </c>
      <c r="B11" s="8" t="str">
        <f t="shared" si="0"/>
        <v>14</v>
      </c>
      <c r="C11" s="8" t="str">
        <f t="shared" si="1"/>
        <v>UK</v>
      </c>
      <c r="D11" s="8" t="str">
        <f t="shared" si="2"/>
        <v>OCT</v>
      </c>
      <c r="E11" s="11" t="s">
        <v>64</v>
      </c>
      <c r="F11" s="11" t="s">
        <v>65</v>
      </c>
      <c r="G11" s="8">
        <v>130</v>
      </c>
      <c r="H11" s="8">
        <v>10</v>
      </c>
      <c r="I11" s="11" t="s">
        <v>40</v>
      </c>
      <c r="J11" s="11" t="str">
        <f t="shared" si="3"/>
        <v>Standard Price</v>
      </c>
      <c r="K11" s="15" t="s">
        <v>66</v>
      </c>
      <c r="L11" s="16"/>
      <c r="M11" s="16"/>
      <c r="N11" s="16"/>
    </row>
    <row r="12" spans="1:14">
      <c r="A12" s="7" t="s">
        <v>67</v>
      </c>
      <c r="B12" s="7" t="str">
        <f t="shared" si="0"/>
        <v>17</v>
      </c>
      <c r="C12" s="7" t="str">
        <f t="shared" si="1"/>
        <v>IN</v>
      </c>
      <c r="D12" s="7" t="str">
        <f t="shared" si="2"/>
        <v>JUN</v>
      </c>
      <c r="E12" s="10" t="s">
        <v>12</v>
      </c>
      <c r="F12" s="10" t="s">
        <v>68</v>
      </c>
      <c r="G12" s="7">
        <v>950</v>
      </c>
      <c r="H12" s="7">
        <v>25</v>
      </c>
      <c r="I12" s="10" t="s">
        <v>14</v>
      </c>
      <c r="J12" s="10" t="str">
        <f t="shared" si="3"/>
        <v>High Price</v>
      </c>
      <c r="K12" s="17" t="s">
        <v>20</v>
      </c>
      <c r="L12" s="17" t="s">
        <v>21</v>
      </c>
      <c r="M12" s="28" t="s">
        <v>22</v>
      </c>
      <c r="N12" s="28" t="s">
        <v>23</v>
      </c>
    </row>
    <row r="13" spans="1:14">
      <c r="A13" s="8" t="s">
        <v>69</v>
      </c>
      <c r="B13" s="8" t="str">
        <f t="shared" si="0"/>
        <v>25</v>
      </c>
      <c r="C13" s="8" t="str">
        <f t="shared" si="1"/>
        <v>AU</v>
      </c>
      <c r="D13" s="8" t="str">
        <f t="shared" si="2"/>
        <v>NOV</v>
      </c>
      <c r="E13" s="11" t="s">
        <v>17</v>
      </c>
      <c r="F13" s="11" t="s">
        <v>50</v>
      </c>
      <c r="G13" s="8">
        <v>90</v>
      </c>
      <c r="H13" s="8">
        <v>40</v>
      </c>
      <c r="I13" s="11" t="s">
        <v>19</v>
      </c>
      <c r="J13" s="11" t="str">
        <f t="shared" si="3"/>
        <v>Standard Price</v>
      </c>
      <c r="K13" s="18" t="s">
        <v>70</v>
      </c>
      <c r="L13" s="19" t="s">
        <v>71</v>
      </c>
      <c r="M13" s="29"/>
      <c r="N13" s="33"/>
    </row>
    <row r="14" spans="1:14">
      <c r="A14" s="7" t="s">
        <v>72</v>
      </c>
      <c r="B14" s="7" t="str">
        <f t="shared" si="0"/>
        <v>08</v>
      </c>
      <c r="C14" s="7" t="str">
        <f t="shared" si="1"/>
        <v>DE</v>
      </c>
      <c r="D14" s="7" t="str">
        <f t="shared" si="2"/>
        <v>DEC</v>
      </c>
      <c r="E14" s="10" t="s">
        <v>25</v>
      </c>
      <c r="F14" s="10" t="s">
        <v>73</v>
      </c>
      <c r="G14" s="7">
        <v>120</v>
      </c>
      <c r="H14" s="7">
        <v>35</v>
      </c>
      <c r="I14" s="10" t="s">
        <v>27</v>
      </c>
      <c r="J14" s="10" t="str">
        <f t="shared" si="3"/>
        <v>Standard Price</v>
      </c>
      <c r="K14" s="18"/>
      <c r="L14" s="19" t="s">
        <v>74</v>
      </c>
      <c r="M14" s="29" t="s">
        <v>75</v>
      </c>
      <c r="N14" s="33" t="str">
        <f>IF(G2&gt;=500,"High Price",IF(G2&lt;500,"Standard Price","High Price"))</f>
        <v>High Price</v>
      </c>
    </row>
    <row r="15" ht="13.5" spans="1:14">
      <c r="A15" s="8" t="s">
        <v>76</v>
      </c>
      <c r="B15" s="8" t="str">
        <f t="shared" si="0"/>
        <v>18</v>
      </c>
      <c r="C15" s="8" t="str">
        <f t="shared" si="1"/>
        <v>CA</v>
      </c>
      <c r="D15" s="8" t="str">
        <f t="shared" si="2"/>
        <v>FEB</v>
      </c>
      <c r="E15" s="11" t="s">
        <v>77</v>
      </c>
      <c r="F15" s="11" t="s">
        <v>78</v>
      </c>
      <c r="G15" s="8">
        <v>150</v>
      </c>
      <c r="H15" s="8">
        <v>15</v>
      </c>
      <c r="I15" s="11" t="s">
        <v>14</v>
      </c>
      <c r="J15" s="11" t="str">
        <f t="shared" si="3"/>
        <v>Standard Price</v>
      </c>
      <c r="K15" s="18"/>
      <c r="L15" s="19" t="s">
        <v>79</v>
      </c>
      <c r="M15" s="29" t="s">
        <v>75</v>
      </c>
      <c r="N15" s="33" t="str">
        <f>IF(G4&gt;=500,"High Price",IF(G4&lt;500,"Standard Price","High Price"))</f>
        <v>Standard Price</v>
      </c>
    </row>
    <row r="16" ht="15" spans="1:14">
      <c r="A16" s="7" t="s">
        <v>80</v>
      </c>
      <c r="B16" s="7" t="str">
        <f t="shared" si="0"/>
        <v>16</v>
      </c>
      <c r="C16" s="7" t="str">
        <f t="shared" si="1"/>
        <v>ES</v>
      </c>
      <c r="D16" s="7" t="str">
        <f t="shared" ref="D16:D35" si="4">MID(A16,4,3)</f>
        <v>APR</v>
      </c>
      <c r="E16" s="10" t="s">
        <v>45</v>
      </c>
      <c r="F16" s="10" t="s">
        <v>81</v>
      </c>
      <c r="G16" s="7">
        <v>250</v>
      </c>
      <c r="H16" s="7">
        <v>20</v>
      </c>
      <c r="I16" s="10" t="s">
        <v>14</v>
      </c>
      <c r="J16" s="10" t="str">
        <f t="shared" si="3"/>
        <v>Standard Price</v>
      </c>
      <c r="K16" s="15" t="s">
        <v>82</v>
      </c>
      <c r="L16" s="16"/>
      <c r="M16" s="16"/>
      <c r="N16" s="16"/>
    </row>
    <row r="17" spans="1:14">
      <c r="A17" s="8" t="s">
        <v>83</v>
      </c>
      <c r="B17" s="8" t="str">
        <f t="shared" si="0"/>
        <v>21</v>
      </c>
      <c r="C17" s="8" t="str">
        <f t="shared" si="1"/>
        <v>CA</v>
      </c>
      <c r="D17" s="8" t="str">
        <f t="shared" si="4"/>
        <v>AUG</v>
      </c>
      <c r="E17" s="11" t="s">
        <v>84</v>
      </c>
      <c r="F17" s="11" t="s">
        <v>85</v>
      </c>
      <c r="G17" s="8">
        <v>50</v>
      </c>
      <c r="H17" s="8">
        <v>35</v>
      </c>
      <c r="I17" s="11" t="s">
        <v>86</v>
      </c>
      <c r="J17" s="11" t="str">
        <f t="shared" si="3"/>
        <v>Standard Price</v>
      </c>
      <c r="K17" s="17" t="s">
        <v>20</v>
      </c>
      <c r="L17" s="17" t="s">
        <v>21</v>
      </c>
      <c r="M17" s="28" t="s">
        <v>22</v>
      </c>
      <c r="N17" s="28" t="s">
        <v>23</v>
      </c>
    </row>
    <row r="18" ht="25.5" spans="1:14">
      <c r="A18" s="7" t="s">
        <v>87</v>
      </c>
      <c r="B18" s="7" t="str">
        <f t="shared" si="0"/>
        <v>20</v>
      </c>
      <c r="C18" s="7" t="str">
        <f t="shared" si="1"/>
        <v>CN</v>
      </c>
      <c r="D18" s="7" t="str">
        <f t="shared" si="4"/>
        <v>AUG</v>
      </c>
      <c r="E18" s="10" t="s">
        <v>77</v>
      </c>
      <c r="F18" s="10" t="s">
        <v>88</v>
      </c>
      <c r="G18" s="7">
        <v>160</v>
      </c>
      <c r="H18" s="7">
        <v>15</v>
      </c>
      <c r="I18" s="10" t="s">
        <v>14</v>
      </c>
      <c r="J18" s="10" t="str">
        <f t="shared" si="3"/>
        <v>Standard Price</v>
      </c>
      <c r="K18" s="18" t="s">
        <v>89</v>
      </c>
      <c r="L18" s="20" t="s">
        <v>90</v>
      </c>
      <c r="M18" s="29" t="s">
        <v>91</v>
      </c>
      <c r="N18" s="33">
        <f>SUMIF($I$2:$I$35,"Electronics",$G$2:$G$35)</f>
        <v>8050</v>
      </c>
    </row>
    <row r="19" ht="13.5" spans="1:14">
      <c r="A19" s="8" t="s">
        <v>92</v>
      </c>
      <c r="B19" s="8" t="str">
        <f t="shared" si="0"/>
        <v>27</v>
      </c>
      <c r="C19" s="8" t="str">
        <f t="shared" si="1"/>
        <v>IT</v>
      </c>
      <c r="D19" s="8" t="str">
        <f t="shared" si="4"/>
        <v>JAN</v>
      </c>
      <c r="E19" s="11" t="s">
        <v>12</v>
      </c>
      <c r="F19" s="11" t="s">
        <v>93</v>
      </c>
      <c r="G19" s="8">
        <v>980</v>
      </c>
      <c r="H19" s="8">
        <v>10</v>
      </c>
      <c r="I19" s="11" t="s">
        <v>14</v>
      </c>
      <c r="J19" s="11" t="str">
        <f t="shared" si="3"/>
        <v>High Price</v>
      </c>
      <c r="K19" s="18" t="s">
        <v>94</v>
      </c>
      <c r="L19" s="19" t="s">
        <v>95</v>
      </c>
      <c r="M19" s="29" t="s">
        <v>96</v>
      </c>
      <c r="N19" s="34">
        <f>COUNTIF(G2:G35,"&lt;100")</f>
        <v>11</v>
      </c>
    </row>
    <row r="20" ht="15" spans="1:14">
      <c r="A20" s="7" t="s">
        <v>97</v>
      </c>
      <c r="B20" s="7" t="str">
        <f t="shared" si="0"/>
        <v>01</v>
      </c>
      <c r="C20" s="7" t="str">
        <f t="shared" si="1"/>
        <v>UK</v>
      </c>
      <c r="D20" s="7" t="str">
        <f t="shared" si="4"/>
        <v>MAR</v>
      </c>
      <c r="E20" s="10" t="s">
        <v>98</v>
      </c>
      <c r="F20" s="10" t="s">
        <v>99</v>
      </c>
      <c r="G20" s="7">
        <v>150</v>
      </c>
      <c r="H20" s="7">
        <v>15</v>
      </c>
      <c r="I20" s="10" t="s">
        <v>19</v>
      </c>
      <c r="J20" s="10" t="str">
        <f t="shared" si="3"/>
        <v>Standard Price</v>
      </c>
      <c r="K20" s="15" t="s">
        <v>100</v>
      </c>
      <c r="L20" s="16"/>
      <c r="M20" s="16"/>
      <c r="N20" s="16"/>
    </row>
    <row r="21" spans="1:14">
      <c r="A21" s="8" t="s">
        <v>101</v>
      </c>
      <c r="B21" s="8" t="str">
        <f t="shared" si="0"/>
        <v>14</v>
      </c>
      <c r="C21" s="8" t="str">
        <f t="shared" si="1"/>
        <v>US</v>
      </c>
      <c r="D21" s="8" t="str">
        <f t="shared" si="4"/>
        <v>AUG</v>
      </c>
      <c r="E21" s="11" t="s">
        <v>102</v>
      </c>
      <c r="F21" s="11" t="s">
        <v>103</v>
      </c>
      <c r="G21" s="8">
        <v>200</v>
      </c>
      <c r="H21" s="8">
        <v>10</v>
      </c>
      <c r="I21" s="11" t="s">
        <v>40</v>
      </c>
      <c r="J21" s="11" t="str">
        <f t="shared" si="3"/>
        <v>Standard Price</v>
      </c>
      <c r="K21" s="17" t="s">
        <v>20</v>
      </c>
      <c r="L21" s="17" t="s">
        <v>21</v>
      </c>
      <c r="M21" s="28" t="s">
        <v>22</v>
      </c>
      <c r="N21" s="28" t="s">
        <v>23</v>
      </c>
    </row>
    <row r="22" ht="25.5" spans="1:14">
      <c r="A22" s="7" t="s">
        <v>104</v>
      </c>
      <c r="B22" s="7" t="str">
        <f t="shared" si="0"/>
        <v>14</v>
      </c>
      <c r="C22" s="7" t="str">
        <f t="shared" si="1"/>
        <v>RU</v>
      </c>
      <c r="D22" s="7" t="str">
        <f t="shared" si="4"/>
        <v>MAY</v>
      </c>
      <c r="E22" s="10" t="s">
        <v>105</v>
      </c>
      <c r="F22" s="10" t="s">
        <v>106</v>
      </c>
      <c r="G22" s="7">
        <v>700</v>
      </c>
      <c r="H22" s="7">
        <v>50</v>
      </c>
      <c r="I22" s="10" t="s">
        <v>14</v>
      </c>
      <c r="J22" s="10" t="str">
        <f t="shared" si="3"/>
        <v>High Price</v>
      </c>
      <c r="K22" s="18" t="s">
        <v>107</v>
      </c>
      <c r="L22" s="20" t="s">
        <v>108</v>
      </c>
      <c r="M22" s="29" t="s">
        <v>109</v>
      </c>
      <c r="N22" s="33" t="str">
        <f>LEFT(A2,2)</f>
        <v>28</v>
      </c>
    </row>
    <row r="23" ht="51" spans="1:14">
      <c r="A23" s="8" t="s">
        <v>110</v>
      </c>
      <c r="B23" s="8" t="str">
        <f t="shared" si="0"/>
        <v>09</v>
      </c>
      <c r="C23" s="8" t="str">
        <f t="shared" si="1"/>
        <v>CA</v>
      </c>
      <c r="D23" s="8" t="str">
        <f t="shared" si="4"/>
        <v>JAN</v>
      </c>
      <c r="E23" s="11" t="s">
        <v>111</v>
      </c>
      <c r="F23" s="11" t="s">
        <v>112</v>
      </c>
      <c r="G23" s="8">
        <v>80</v>
      </c>
      <c r="H23" s="8">
        <v>20</v>
      </c>
      <c r="I23" s="11" t="s">
        <v>27</v>
      </c>
      <c r="J23" s="11" t="str">
        <f t="shared" si="3"/>
        <v>Standard Price</v>
      </c>
      <c r="K23" s="18" t="s">
        <v>113</v>
      </c>
      <c r="L23" s="21" t="s">
        <v>114</v>
      </c>
      <c r="M23" s="29" t="s">
        <v>115</v>
      </c>
      <c r="N23" s="35" t="str">
        <f>RIGHT(A2,2)</f>
        <v>US</v>
      </c>
    </row>
    <row r="24" ht="38.25" spans="1:15">
      <c r="A24" s="7" t="s">
        <v>116</v>
      </c>
      <c r="B24" s="7" t="str">
        <f t="shared" si="0"/>
        <v>19</v>
      </c>
      <c r="C24" s="7" t="str">
        <f t="shared" si="1"/>
        <v>BR</v>
      </c>
      <c r="D24" s="7" t="str">
        <f t="shared" si="4"/>
        <v>JUL</v>
      </c>
      <c r="E24" s="10" t="s">
        <v>117</v>
      </c>
      <c r="F24" s="10" t="s">
        <v>118</v>
      </c>
      <c r="G24" s="7">
        <v>150</v>
      </c>
      <c r="H24" s="7">
        <v>30</v>
      </c>
      <c r="I24" s="10" t="s">
        <v>14</v>
      </c>
      <c r="J24" s="10" t="str">
        <f t="shared" si="3"/>
        <v>Standard Price</v>
      </c>
      <c r="K24" s="22" t="s">
        <v>119</v>
      </c>
      <c r="L24" s="21" t="s">
        <v>120</v>
      </c>
      <c r="M24" s="19" t="s">
        <v>121</v>
      </c>
      <c r="N24" s="33" t="str">
        <f>MID(A2,4,3)</f>
        <v>JAN</v>
      </c>
      <c r="O24" s="26"/>
    </row>
    <row r="25" spans="1:14">
      <c r="A25" s="8" t="s">
        <v>83</v>
      </c>
      <c r="B25" s="8" t="str">
        <f t="shared" si="0"/>
        <v>21</v>
      </c>
      <c r="C25" s="8" t="str">
        <f t="shared" si="1"/>
        <v>CA</v>
      </c>
      <c r="D25" s="8" t="str">
        <f t="shared" si="4"/>
        <v>AUG</v>
      </c>
      <c r="E25" s="11" t="s">
        <v>84</v>
      </c>
      <c r="F25" s="11" t="s">
        <v>85</v>
      </c>
      <c r="G25" s="8">
        <v>50</v>
      </c>
      <c r="H25" s="8">
        <v>35</v>
      </c>
      <c r="I25" s="11" t="s">
        <v>86</v>
      </c>
      <c r="J25" s="11" t="str">
        <f t="shared" si="3"/>
        <v>Standard Price</v>
      </c>
      <c r="K25" s="23"/>
      <c r="L25" s="24"/>
      <c r="M25" s="24"/>
      <c r="N25" s="23"/>
    </row>
    <row r="26" ht="25.5" spans="1:14">
      <c r="A26" s="7" t="s">
        <v>122</v>
      </c>
      <c r="B26" s="7" t="str">
        <f t="shared" si="0"/>
        <v>29</v>
      </c>
      <c r="C26" s="7" t="str">
        <f t="shared" si="1"/>
        <v>CA</v>
      </c>
      <c r="D26" s="7" t="str">
        <f t="shared" si="4"/>
        <v>SEP</v>
      </c>
      <c r="E26" s="10" t="s">
        <v>32</v>
      </c>
      <c r="F26" s="10" t="s">
        <v>123</v>
      </c>
      <c r="G26" s="7">
        <v>800</v>
      </c>
      <c r="H26" s="7">
        <v>45</v>
      </c>
      <c r="I26" s="10" t="s">
        <v>14</v>
      </c>
      <c r="J26" s="10" t="str">
        <f t="shared" si="3"/>
        <v>High Price</v>
      </c>
      <c r="K26" s="5"/>
      <c r="L26" s="25" t="s">
        <v>124</v>
      </c>
      <c r="M26" s="24"/>
      <c r="N26" s="23"/>
    </row>
    <row r="27" spans="1:15">
      <c r="A27" s="8" t="s">
        <v>125</v>
      </c>
      <c r="B27" s="8" t="str">
        <f t="shared" si="0"/>
        <v>03</v>
      </c>
      <c r="C27" s="8" t="str">
        <f t="shared" si="1"/>
        <v>CA</v>
      </c>
      <c r="D27" s="8" t="str">
        <f t="shared" si="4"/>
        <v>JUN</v>
      </c>
      <c r="E27" s="11" t="s">
        <v>98</v>
      </c>
      <c r="F27" s="11" t="s">
        <v>126</v>
      </c>
      <c r="G27" s="8">
        <v>130</v>
      </c>
      <c r="H27" s="8">
        <v>25</v>
      </c>
      <c r="I27" s="11" t="s">
        <v>19</v>
      </c>
      <c r="J27" s="11" t="str">
        <f t="shared" si="3"/>
        <v>Standard Price</v>
      </c>
      <c r="K27" s="23"/>
      <c r="L27" s="24"/>
      <c r="M27" s="23"/>
      <c r="N27" s="24"/>
      <c r="O27" s="26"/>
    </row>
    <row r="28" spans="1:15">
      <c r="A28" s="7" t="s">
        <v>127</v>
      </c>
      <c r="B28" s="7" t="str">
        <f t="shared" si="0"/>
        <v>11</v>
      </c>
      <c r="C28" s="7" t="str">
        <f t="shared" si="1"/>
        <v>CA</v>
      </c>
      <c r="D28" s="7" t="str">
        <f t="shared" si="4"/>
        <v>JUL</v>
      </c>
      <c r="E28" s="10" t="s">
        <v>52</v>
      </c>
      <c r="F28" s="10" t="s">
        <v>128</v>
      </c>
      <c r="G28" s="7">
        <v>400</v>
      </c>
      <c r="H28" s="7">
        <v>40</v>
      </c>
      <c r="I28" s="10" t="s">
        <v>27</v>
      </c>
      <c r="J28" s="10" t="str">
        <f t="shared" si="3"/>
        <v>Standard Price</v>
      </c>
      <c r="K28" s="23"/>
      <c r="L28" s="23"/>
      <c r="M28" s="23"/>
      <c r="N28" s="24"/>
      <c r="O28" s="26"/>
    </row>
    <row r="29" spans="1:14">
      <c r="A29" s="8" t="s">
        <v>80</v>
      </c>
      <c r="B29" s="8" t="str">
        <f t="shared" si="0"/>
        <v>16</v>
      </c>
      <c r="C29" s="8" t="str">
        <f t="shared" si="1"/>
        <v>ES</v>
      </c>
      <c r="D29" s="8" t="str">
        <f t="shared" si="4"/>
        <v>APR</v>
      </c>
      <c r="E29" s="11" t="s">
        <v>45</v>
      </c>
      <c r="F29" s="11" t="s">
        <v>81</v>
      </c>
      <c r="G29" s="8">
        <v>230</v>
      </c>
      <c r="H29" s="8">
        <v>20</v>
      </c>
      <c r="I29" s="11" t="s">
        <v>14</v>
      </c>
      <c r="J29" s="11" t="str">
        <f t="shared" si="3"/>
        <v>Standard Price</v>
      </c>
      <c r="K29" s="23"/>
      <c r="L29" s="24"/>
      <c r="M29" s="23"/>
      <c r="N29" s="24"/>
    </row>
    <row r="30" spans="1:14">
      <c r="A30" s="7" t="s">
        <v>129</v>
      </c>
      <c r="B30" s="7" t="str">
        <f t="shared" si="0"/>
        <v>07</v>
      </c>
      <c r="C30" s="7" t="str">
        <f t="shared" si="1"/>
        <v>CA</v>
      </c>
      <c r="D30" s="7" t="str">
        <f t="shared" si="4"/>
        <v>MAR</v>
      </c>
      <c r="E30" s="10" t="s">
        <v>130</v>
      </c>
      <c r="F30" s="10" t="s">
        <v>131</v>
      </c>
      <c r="G30" s="7">
        <v>60</v>
      </c>
      <c r="H30" s="7">
        <v>30</v>
      </c>
      <c r="I30" s="10" t="s">
        <v>19</v>
      </c>
      <c r="J30" s="10" t="str">
        <f t="shared" si="3"/>
        <v>Standard Price</v>
      </c>
      <c r="K30" s="23"/>
      <c r="L30" s="23"/>
      <c r="M30" s="23"/>
      <c r="N30" s="23"/>
    </row>
    <row r="31" spans="1:12">
      <c r="A31" s="8" t="s">
        <v>132</v>
      </c>
      <c r="B31" s="8" t="str">
        <f t="shared" si="0"/>
        <v>13</v>
      </c>
      <c r="C31" s="8" t="str">
        <f t="shared" si="1"/>
        <v>CA</v>
      </c>
      <c r="D31" s="8" t="str">
        <f t="shared" si="4"/>
        <v>APR</v>
      </c>
      <c r="E31" s="11" t="s">
        <v>133</v>
      </c>
      <c r="F31" s="11" t="s">
        <v>134</v>
      </c>
      <c r="G31" s="8">
        <v>40</v>
      </c>
      <c r="H31" s="8">
        <v>10</v>
      </c>
      <c r="I31" s="11" t="s">
        <v>27</v>
      </c>
      <c r="J31" s="11" t="str">
        <f t="shared" si="3"/>
        <v>Standard Price</v>
      </c>
      <c r="L31" s="26"/>
    </row>
    <row r="32" spans="1:10">
      <c r="A32" s="7" t="s">
        <v>135</v>
      </c>
      <c r="B32" s="7" t="str">
        <f t="shared" si="0"/>
        <v>24</v>
      </c>
      <c r="C32" s="7" t="str">
        <f t="shared" si="1"/>
        <v>CA</v>
      </c>
      <c r="D32" s="7" t="str">
        <f t="shared" si="4"/>
        <v>MAY</v>
      </c>
      <c r="E32" s="10" t="s">
        <v>117</v>
      </c>
      <c r="F32" s="10" t="s">
        <v>136</v>
      </c>
      <c r="G32" s="7">
        <v>130</v>
      </c>
      <c r="H32" s="7">
        <v>5</v>
      </c>
      <c r="I32" s="10" t="s">
        <v>14</v>
      </c>
      <c r="J32" s="10" t="str">
        <f t="shared" si="3"/>
        <v>Standard Price</v>
      </c>
    </row>
    <row r="33" spans="1:10">
      <c r="A33" s="8" t="s">
        <v>137</v>
      </c>
      <c r="B33" s="8" t="str">
        <f t="shared" si="0"/>
        <v>02</v>
      </c>
      <c r="C33" s="8" t="str">
        <f t="shared" si="1"/>
        <v>CA</v>
      </c>
      <c r="D33" s="8" t="str">
        <f t="shared" si="4"/>
        <v>DEC</v>
      </c>
      <c r="E33" s="11" t="s">
        <v>138</v>
      </c>
      <c r="F33" s="11" t="s">
        <v>139</v>
      </c>
      <c r="G33" s="8">
        <v>50</v>
      </c>
      <c r="H33" s="8">
        <v>50</v>
      </c>
      <c r="I33" s="11" t="s">
        <v>19</v>
      </c>
      <c r="J33" s="11" t="str">
        <f t="shared" si="3"/>
        <v>Standard Price</v>
      </c>
    </row>
    <row r="34" spans="1:10">
      <c r="A34" s="7" t="s">
        <v>67</v>
      </c>
      <c r="B34" s="7" t="str">
        <f t="shared" si="0"/>
        <v>17</v>
      </c>
      <c r="C34" s="7" t="str">
        <f t="shared" si="1"/>
        <v>IN</v>
      </c>
      <c r="D34" s="7" t="str">
        <f t="shared" si="4"/>
        <v>JUN</v>
      </c>
      <c r="E34" s="10" t="s">
        <v>12</v>
      </c>
      <c r="F34" s="10" t="s">
        <v>68</v>
      </c>
      <c r="G34" s="7">
        <v>950</v>
      </c>
      <c r="H34" s="7">
        <v>25</v>
      </c>
      <c r="I34" s="10" t="s">
        <v>14</v>
      </c>
      <c r="J34" s="10" t="str">
        <f t="shared" si="3"/>
        <v>High Price</v>
      </c>
    </row>
    <row r="35" spans="1:10">
      <c r="A35" s="8" t="s">
        <v>140</v>
      </c>
      <c r="B35" s="8" t="str">
        <f t="shared" si="0"/>
        <v>09</v>
      </c>
      <c r="C35" s="8" t="str">
        <f t="shared" si="1"/>
        <v>FR</v>
      </c>
      <c r="D35" s="8" t="str">
        <f t="shared" si="4"/>
        <v>JUL</v>
      </c>
      <c r="E35" s="11" t="s">
        <v>141</v>
      </c>
      <c r="F35" s="11" t="s">
        <v>142</v>
      </c>
      <c r="G35" s="8">
        <v>100</v>
      </c>
      <c r="H35" s="8">
        <v>20</v>
      </c>
      <c r="I35" s="11" t="s">
        <v>86</v>
      </c>
      <c r="J35" s="11" t="str">
        <f t="shared" si="3"/>
        <v>Standard Price</v>
      </c>
    </row>
  </sheetData>
  <mergeCells count="6">
    <mergeCell ref="K1:N1"/>
    <mergeCell ref="K2:N2"/>
    <mergeCell ref="K7:N7"/>
    <mergeCell ref="K11:N11"/>
    <mergeCell ref="K16:N16"/>
    <mergeCell ref="K20:N20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ubntu</cp:lastModifiedBy>
  <dcterms:created xsi:type="dcterms:W3CDTF">2026-05-23T08:53:00Z</dcterms:created>
  <dcterms:modified xsi:type="dcterms:W3CDTF">2026-05-24T11:54:01Z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